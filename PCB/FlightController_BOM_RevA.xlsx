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Open items" sheetId="2" state="visible" r:id="rId4"/>
  </sheets>
  <definedNames>
    <definedName function="false" hidden="true" localSheetId="0" name="_xlnm._FilterDatabase" vbProcedure="false">BOM!$A$1:$I$35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<sst xmlns="http://schemas.openxmlformats.org/spreadsheetml/2006/main" count="291" uniqueCount="212">
  <si>
    <t xml:space="preserve">Designators</t>
  </si>
  <si>
    <t xml:space="preserve">Qty</t>
  </si>
  <si>
    <t xml:space="preserve">Value</t>
  </si>
  <si>
    <t xml:space="preserve">Description / spec</t>
  </si>
  <si>
    <t xml:space="preserve">Footprint</t>
  </si>
  <si>
    <t xml:space="preserve">Manufacturer</t>
  </si>
  <si>
    <t xml:space="preserve">MPN</t>
  </si>
  <si>
    <t xml:space="preserve">Source</t>
  </si>
  <si>
    <t xml:space="preserve">Notes</t>
  </si>
  <si>
    <t xml:space="preserve">C1,C4,C6,C10,C11,C13,C15</t>
  </si>
  <si>
    <t xml:space="preserve">100 nF</t>
  </si>
  <si>
    <t xml:space="preserve">MLCC 100 nF, 16 V, X7R, ±10%</t>
  </si>
  <si>
    <t xml:space="preserve">Capacitor_SMD:C_0402_1005Metric</t>
  </si>
  <si>
    <t xml:space="preserve">generic</t>
  </si>
  <si>
    <t xml:space="preserve">CSV</t>
  </si>
  <si>
    <t xml:space="preserve">CSV listed this value three ways (0u1 / 100N / 100n); merged into one line</t>
  </si>
  <si>
    <t xml:space="preserve">C2</t>
  </si>
  <si>
    <t xml:space="preserve">10 µF</t>
  </si>
  <si>
    <t xml:space="preserve">MLCC 10 µF, X5R/X7R, ≥35 V (assumed VIN cap; confirm net)</t>
  </si>
  <si>
    <t xml:space="preserve">Capacitor_SMD:C_1206_3216Metric</t>
  </si>
  <si>
    <t xml:space="preserve">Voltage rating assumed. If on battery input (up to 6S / 25.2 V) use ≥35 V</t>
  </si>
  <si>
    <t xml:space="preserve">C3,C7</t>
  </si>
  <si>
    <t xml:space="preserve">1 µF</t>
  </si>
  <si>
    <t xml:space="preserve">MLCC 1 µF, 16 V, X7R</t>
  </si>
  <si>
    <t xml:space="preserve">Capacitor_SMD:C_0603_1608Metric</t>
  </si>
  <si>
    <t xml:space="preserve">C5</t>
  </si>
  <si>
    <t xml:space="preserve">2.2 µF</t>
  </si>
  <si>
    <t xml:space="preserve">MLCC 2.2 µF, 10 V, X5R/X7R</t>
  </si>
  <si>
    <t xml:space="preserve">C8,C9</t>
  </si>
  <si>
    <t xml:space="preserve">4.7 µF</t>
  </si>
  <si>
    <t xml:space="preserve">MLCC 4.7 µF, 10 V, X5R</t>
  </si>
  <si>
    <t xml:space="preserve">Check DC-bias derating at 3.3 V / 5 V</t>
  </si>
  <si>
    <t xml:space="preserve">C12</t>
  </si>
  <si>
    <t xml:space="preserve">MLCC 10 µF, 10 V, X5R</t>
  </si>
  <si>
    <t xml:space="preserve">10 µF in 0402 loses a lot of capacitance under DC bias; check effective value</t>
  </si>
  <si>
    <t xml:space="preserve">C14</t>
  </si>
  <si>
    <t xml:space="preserve">75 pF</t>
  </si>
  <si>
    <t xml:space="preserve">MLCC 75 pF, 50 V, C0G/NP0</t>
  </si>
  <si>
    <t xml:space="preserve">Role not stated in design notes</t>
  </si>
  <si>
    <t xml:space="preserve">C16,C17</t>
  </si>
  <si>
    <t xml:space="preserve">22 µF</t>
  </si>
  <si>
    <t xml:space="preserve">MLCC 22 µF, ≥10 V, X5R</t>
  </si>
  <si>
    <t xml:space="preserve">Capacitor_SMD:C_0805_2012Metric</t>
  </si>
  <si>
    <t xml:space="preserve">Voltage assumed (likely 5 V rail output caps); check DC-bias derating</t>
  </si>
  <si>
    <t xml:space="preserve">C18,C19</t>
  </si>
  <si>
    <t xml:space="preserve">10 pF</t>
  </si>
  <si>
    <t xml:space="preserve">MLCC 10 pF, 50 V, C0G/NP0, ±5%</t>
  </si>
  <si>
    <t xml:space="preserve">CSV + md</t>
  </si>
  <si>
    <t xml:space="preserve">HSE load caps CL1/CL2 for Y1; design notes require C0G/NP0</t>
  </si>
  <si>
    <t xml:space="preserve">D1,D2</t>
  </si>
  <si>
    <t xml:space="preserve">SS110</t>
  </si>
  <si>
    <t xml:space="preserve">Schottky diode, 1 A, 100 V</t>
  </si>
  <si>
    <t xml:space="preserve">Diode_SMD:D_SMA</t>
  </si>
  <si>
    <t xml:space="preserve">SMC Diode Solutions</t>
  </si>
  <si>
    <t xml:space="preserve">Datasheet link in CSV</t>
  </si>
  <si>
    <t xml:space="preserve">D6</t>
  </si>
  <si>
    <t xml:space="preserve">LED</t>
  </si>
  <si>
    <t xml:space="preserve">LED 0805, color TBD</t>
  </si>
  <si>
    <t xml:space="preserve">LED_SMD:LED_0805_2012Metric</t>
  </si>
  <si>
    <t xml:space="preserve">TBD</t>
  </si>
  <si>
    <t xml:space="preserve">Color / MPN not specified</t>
  </si>
  <si>
    <t xml:space="preserve">D7</t>
  </si>
  <si>
    <t xml:space="preserve">LED 0603, color TBD</t>
  </si>
  <si>
    <t xml:space="preserve">LED_SMD:LED_0603_1608Metric</t>
  </si>
  <si>
    <t xml:space="preserve">J1,J2,J3</t>
  </si>
  <si>
    <t xml:space="preserve">SM04B-GHS-TB</t>
  </si>
  <si>
    <t xml:space="preserve">JST-GH 1.25 mm, 4-pin, SMD side-entry</t>
  </si>
  <si>
    <t xml:space="preserve">FlightControllerFootprints:JST_SM04B-GHS-TB_LF__SN_-</t>
  </si>
  <si>
    <t xml:space="preserve">JST</t>
  </si>
  <si>
    <t xml:space="preserve">SM04B-GHS-TB(LF)(SN)</t>
  </si>
  <si>
    <t xml:space="preserve">J5</t>
  </si>
  <si>
    <t xml:space="preserve">SD_CARD_SLOT</t>
  </si>
  <si>
    <t xml:space="preserve">microSD card slot, push-push</t>
  </si>
  <si>
    <t xml:space="preserve">FlightControllerFootprints:CONN_503398-1892_MOL</t>
  </si>
  <si>
    <t xml:space="preserve">Molex</t>
  </si>
  <si>
    <t xml:space="preserve">503398-1892</t>
  </si>
  <si>
    <t xml:space="preserve">Design notes named Molex 104031-0812; footprint and CSV datasheet link are 503398-1892</t>
  </si>
  <si>
    <t xml:space="preserve">J7</t>
  </si>
  <si>
    <t xml:space="preserve">TYPE-C-31-M-12</t>
  </si>
  <si>
    <t xml:space="preserve">USB-C receptacle</t>
  </si>
  <si>
    <t xml:space="preserve">FlightControllerFootprints:HRO_TYPE-C-31-M-12</t>
  </si>
  <si>
    <t xml:space="preserve">HRO</t>
  </si>
  <si>
    <t xml:space="preserve">As far as I know this has through-hole shell tabs; confirm assembler can place it</t>
  </si>
  <si>
    <t xml:space="preserve">U8</t>
  </si>
  <si>
    <t xml:space="preserve">JST-SH 8-pin</t>
  </si>
  <si>
    <t xml:space="preserve">JST-SH 1.0 mm, 8-pin, SMD side-entry</t>
  </si>
  <si>
    <t xml:space="preserve">Connector_JST:JST_SH_SM08B-SRSS-TB_1x08-1MP_P1.00mm_Horizontal</t>
  </si>
  <si>
    <t xml:space="preserve">SM08B-SRSS-TB(LF)(SN)</t>
  </si>
  <si>
    <t xml:space="preserve">Footprint confirms SM08B-SRSS-TB; (LF)(SN) suffix is the standard orderable variant. Value was '~' in CSV</t>
  </si>
  <si>
    <t xml:space="preserve">L1</t>
  </si>
  <si>
    <t xml:space="preserve">10 µH</t>
  </si>
  <si>
    <t xml:space="preserve">Shielded power inductor, 10 µH, Würth WE-LQSH 4020</t>
  </si>
  <si>
    <t xml:space="preserve">Inductor_SMD_Wurth:L_Wurth_WE-LQSH-4020</t>
  </si>
  <si>
    <t xml:space="preserve">Würth Elektronik</t>
  </si>
  <si>
    <t xml:space="preserve">MPN needed; check saturation current vs buck converter current limit</t>
  </si>
  <si>
    <t xml:space="preserve">R1,R2</t>
  </si>
  <si>
    <t xml:space="preserve">4k7</t>
  </si>
  <si>
    <t xml:space="preserve">Resistor 4.7 kΩ, 1%, 1/16 W</t>
  </si>
  <si>
    <t xml:space="preserve">Resistor_SMD:R_0402_1005Metric</t>
  </si>
  <si>
    <t xml:space="preserve">R3,R4</t>
  </si>
  <si>
    <t xml:space="preserve">5K1</t>
  </si>
  <si>
    <t xml:space="preserve">Resistor 5.1 kΩ, 1%, 1/16 W</t>
  </si>
  <si>
    <t xml:space="preserve">USB-C CC1/CC2 pull-downs</t>
  </si>
  <si>
    <t xml:space="preserve">R5</t>
  </si>
  <si>
    <t xml:space="preserve">105k</t>
  </si>
  <si>
    <t xml:space="preserve">Resistor 105 kΩ, 1%, 1/16 W</t>
  </si>
  <si>
    <t xml:space="preserve">E96 value; confirm availability</t>
  </si>
  <si>
    <t xml:space="preserve">R6</t>
  </si>
  <si>
    <t xml:space="preserve">13k</t>
  </si>
  <si>
    <t xml:space="preserve">Resistor 13 kΩ, 1%, 1/16 W</t>
  </si>
  <si>
    <t xml:space="preserve">R7,R12</t>
  </si>
  <si>
    <t xml:space="preserve">100k</t>
  </si>
  <si>
    <t xml:space="preserve">Resistor 100 kΩ, 1%, 1/16 W</t>
  </si>
  <si>
    <t xml:space="preserve">R8</t>
  </si>
  <si>
    <t xml:space="preserve">511k</t>
  </si>
  <si>
    <t xml:space="preserve">Resistor 511 kΩ, 1%, 1/16 W</t>
  </si>
  <si>
    <t xml:space="preserve">R9</t>
  </si>
  <si>
    <t xml:space="preserve">50</t>
  </si>
  <si>
    <t xml:space="preserve">Resistor 50 Ω, 1%, 1/16 W</t>
  </si>
  <si>
    <t xml:space="preserve">Design notes specify the oscillator R_EXT as 0 Ω; confirm this is not that resistor</t>
  </si>
  <si>
    <t xml:space="preserve">R10,R11,R13,R16,R17,R18,R19,R20,R21,R22</t>
  </si>
  <si>
    <t xml:space="preserve">10k</t>
  </si>
  <si>
    <t xml:space="preserve">Resistor 10 kΩ, 1%, 1/16 W</t>
  </si>
  <si>
    <t xml:space="preserve">CSV listed 10K and 10k separately; merged</t>
  </si>
  <si>
    <t xml:space="preserve">R14,R15</t>
  </si>
  <si>
    <t xml:space="preserve">330</t>
  </si>
  <si>
    <t xml:space="preserve">Resistor 330 Ω, 1%, 1/16 W</t>
  </si>
  <si>
    <t xml:space="preserve">SW1,SW3</t>
  </si>
  <si>
    <t xml:space="preserve">SW_Push</t>
  </si>
  <si>
    <t xml:space="preserve">Tactile switch, SMD (PTS810 footprint)</t>
  </si>
  <si>
    <t xml:space="preserve">Button_Switch_SMD:SW_SPST_PTS810</t>
  </si>
  <si>
    <t xml:space="preserve">C&amp;K</t>
  </si>
  <si>
    <t xml:space="preserve">PTS810 SJM 250 SMTR LFS</t>
  </si>
  <si>
    <t xml:space="preserve">Inferred</t>
  </si>
  <si>
    <t xml:space="preserve">Inferred from footprint; design notes suggested Panasonic EVQ-PE, which is a different footprint. Verify</t>
  </si>
  <si>
    <t xml:space="preserve">U1</t>
  </si>
  <si>
    <t xml:space="preserve">STM32F411CEU6</t>
  </si>
  <si>
    <t xml:space="preserve">MCU, Arm Cortex-M4, 512 KB flash, UQFN48 7x7 mm</t>
  </si>
  <si>
    <t xml:space="preserve">FlightControllerFootprints:stm32</t>
  </si>
  <si>
    <t xml:space="preserve">STMicroelectronics</t>
  </si>
  <si>
    <t xml:space="preserve">U2</t>
  </si>
  <si>
    <t xml:space="preserve">ICM-42688-P</t>
  </si>
  <si>
    <t xml:space="preserve">6-axis IMU, LGA-14, 2.5x3 mm</t>
  </si>
  <si>
    <t xml:space="preserve">FlightControllerFootprints:PQFN50P300X250X97-14N</t>
  </si>
  <si>
    <t xml:space="preserve">TDK InvenSense</t>
  </si>
  <si>
    <t xml:space="preserve">U3</t>
  </si>
  <si>
    <t xml:space="preserve">BMP581</t>
  </si>
  <si>
    <t xml:space="preserve">Barometric pressure sensor, LGA</t>
  </si>
  <si>
    <t xml:space="preserve">FlightControllerFootprints:BMP581</t>
  </si>
  <si>
    <t xml:space="preserve">Bosch Sensortec</t>
  </si>
  <si>
    <t xml:space="preserve">Design notes say BMP390; schematic uses BMP581</t>
  </si>
  <si>
    <t xml:space="preserve">U5</t>
  </si>
  <si>
    <t xml:space="preserve">3.3Converter</t>
  </si>
  <si>
    <t xml:space="preserve">3.3 V LDO, SOT-23-5</t>
  </si>
  <si>
    <t xml:space="preserve">FlightControllerFootprints:SOT95P285X140-5N</t>
  </si>
  <si>
    <t xml:space="preserve">Diodes Incorporated</t>
  </si>
  <si>
    <t xml:space="preserve">AP2112K-3.3TRG1</t>
  </si>
  <si>
    <t xml:space="preserve">md</t>
  </si>
  <si>
    <t xml:space="preserve">Value was '3.3Converter' in CSV; part from design notes</t>
  </si>
  <si>
    <t xml:space="preserve">U6</t>
  </si>
  <si>
    <t xml:space="preserve">USBLC6-2SC6</t>
  </si>
  <si>
    <t xml:space="preserve">USB ESD protection, SOT-23-6</t>
  </si>
  <si>
    <t xml:space="preserve">Package_TO_SOT_SMD:SOT-23-6</t>
  </si>
  <si>
    <t xml:space="preserve">U7</t>
  </si>
  <si>
    <t xml:space="preserve">TPS54302</t>
  </si>
  <si>
    <t xml:space="preserve">Buck converter, SOT-23-6</t>
  </si>
  <si>
    <t xml:space="preserve">Texas Instruments</t>
  </si>
  <si>
    <t xml:space="preserve">TPS54302DDCR</t>
  </si>
  <si>
    <t xml:space="preserve">Design notes say TPS563201DDCR; schematic uses TPS54302. Full MPN suffix inferred</t>
  </si>
  <si>
    <t xml:space="preserve">Y1</t>
  </si>
  <si>
    <t xml:space="preserve">Crystal</t>
  </si>
  <si>
    <t xml:space="preserve">Crystal 8 MHz, 8 pF load, 5.0x3.2 mm, 2-pin</t>
  </si>
  <si>
    <t xml:space="preserve">Crystal:Crystal_SMD_5032-2Pin_5.0x3.2mm</t>
  </si>
  <si>
    <t xml:space="preserve">TXC</t>
  </si>
  <si>
    <t xml:space="preserve">AA-8.000MALV-T</t>
  </si>
  <si>
    <t xml:space="preserve">Value was 'Crystal' in CSV; part from design notes</t>
  </si>
  <si>
    <t xml:space="preserve">Total components</t>
  </si>
  <si>
    <t xml:space="preserve">Line items</t>
  </si>
  <si>
    <t xml:space="preserve">Legend / assumptions</t>
  </si>
  <si>
    <t xml:space="preserve">Source: CSV = schematic export (FlightController.csv: designators, values, footprints); md = design notes (FlightController_BOM.md: part numbers); Inferred = my inference from the footprint, verify before ordering.</t>
  </si>
  <si>
    <t xml:space="preserve">Yellow cells = MPN missing or inferred.</t>
  </si>
  <si>
    <t xml:space="preserve">Qty is calculated from the designator list. Passive voltage, dielectric, tolerance and power ratings are suggested defaults, not from the schematic; confirm against each net.</t>
  </si>
  <si>
    <t xml:space="preserve">Passives are listed generic. An assembly service will usually want a specific part number or your approval of a generic equivalent.</t>
  </si>
  <si>
    <t xml:space="preserve">No lines are marked DNP or excluded in the CSV, so everything above is populated.</t>
  </si>
  <si>
    <t xml:space="preserve">Parts named in the design notes but absent from the CSV (IST8310, reverse-polarity FET, TVS, INA226, WS2812, buzzer, ferrite bead, SWD header, GPS module) are not part of Rev A, per the designer.</t>
  </si>
  <si>
    <t xml:space="preserve">#</t>
  </si>
  <si>
    <t xml:space="preserve">Topic</t>
  </si>
  <si>
    <t xml:space="preserve">Schematic (CSV)</t>
  </si>
  <si>
    <t xml:space="preserve">Design notes (md)</t>
  </si>
  <si>
    <t xml:space="preserve">Used / to confirm</t>
  </si>
  <si>
    <t xml:space="preserve">5 V buck converter</t>
  </si>
  <si>
    <t xml:space="preserve">TPS54302 (U7)</t>
  </si>
  <si>
    <t xml:space="preserve">TPS563201DDCR</t>
  </si>
  <si>
    <t xml:space="preserve">Used the CSV. As far as I know the TPS563201 tops out around 17 V input, which would not cover your 6-30 V design range; the TPS54302 does. Check both datasheets, and make sure the feedback resistors (R5, R6, R8) match the part. The crystal-clearance note in the md also refers to the TPS563201.</t>
  </si>
  <si>
    <t xml:space="preserve">Barometer</t>
  </si>
  <si>
    <t xml:space="preserve">BMP581 (U3)</t>
  </si>
  <si>
    <t xml:space="preserve">BMP390</t>
  </si>
  <si>
    <t xml:space="preserve">Used the CSV (BMP581). The md is out of date here.</t>
  </si>
  <si>
    <t xml:space="preserve">microSD slot</t>
  </si>
  <si>
    <t xml:space="preserve">Molex 503398-1892 (J5)</t>
  </si>
  <si>
    <t xml:space="preserve">Molex 104031-0812</t>
  </si>
  <si>
    <t xml:space="preserve">Used the CSV; it matches the footprint.</t>
  </si>
  <si>
    <t xml:space="preserve">50 Ω</t>
  </si>
  <si>
    <t xml:space="preserve">Oscillator R_EXT = 0 Ω</t>
  </si>
  <si>
    <t xml:space="preserve">Confirm R9 is not the HSE series resistor; a 50 Ω value there would change the oscillator drive.</t>
  </si>
  <si>
    <t xml:space="preserve">Missing details</t>
  </si>
  <si>
    <t xml:space="preserve">L1 MPN, LED colors, role of C14 (75 pF), cap voltage ratings</t>
  </si>
  <si>
    <t xml:space="preserve">-</t>
  </si>
  <si>
    <t xml:space="preserve">Fill in before sending to an assembler.</t>
  </si>
  <si>
    <t xml:space="preserve">USB-C connector assembly</t>
  </si>
  <si>
    <t xml:space="preserve">TYPE-C-31-M-12 (J7)</t>
  </si>
  <si>
    <t xml:space="preserve">As far as I know it has through-hole shell tabs; confirm your assembler can place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</si>
</sst>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n">
        <f aca="false">LEN(A2)-LEN(SUBSTITUTE(A2,",",""))+1</f>
        <v>7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  <c r="I2" s="2" t="s">
        <v>15</v>
      </c>
    </row>
    <row r="3" customFormat="false" ht="23.85" hidden="false" customHeight="false" outlineLevel="0" collapsed="false">
      <c r="A3" s="2" t="s">
        <v>16</v>
      </c>
      <c r="B3" s="3" t="n">
        <f aca="false">LEN(A3)-LEN(SUBSTITUTE(A3,",",""))+1</f>
        <v>1</v>
      </c>
      <c r="C3" s="2" t="s">
        <v>17</v>
      </c>
      <c r="D3" s="2" t="s">
        <v>18</v>
      </c>
      <c r="E3" s="2" t="s">
        <v>19</v>
      </c>
      <c r="F3" s="2" t="s">
        <v>13</v>
      </c>
      <c r="G3" s="2"/>
      <c r="H3" s="2" t="s">
        <v>14</v>
      </c>
      <c r="I3" s="2" t="s">
        <v>20</v>
      </c>
    </row>
    <row r="4" customFormat="false" ht="15" hidden="false" customHeight="false" outlineLevel="0" collapsed="false">
      <c r="A4" s="2" t="s">
        <v>21</v>
      </c>
      <c r="B4" s="3" t="n">
        <f aca="false">LEN(A4)-LEN(SUBSTITUTE(A4,",",""))+1</f>
        <v>2</v>
      </c>
      <c r="C4" s="2" t="s">
        <v>22</v>
      </c>
      <c r="D4" s="2" t="s">
        <v>23</v>
      </c>
      <c r="E4" s="2" t="s">
        <v>24</v>
      </c>
      <c r="F4" s="2" t="s">
        <v>13</v>
      </c>
      <c r="G4" s="2"/>
      <c r="H4" s="2" t="s">
        <v>14</v>
      </c>
      <c r="I4" s="2"/>
    </row>
    <row r="5" customFormat="false" ht="15" hidden="false" customHeight="false" outlineLevel="0" collapsed="false">
      <c r="A5" s="2" t="s">
        <v>25</v>
      </c>
      <c r="B5" s="3" t="n">
        <f aca="false">LEN(A5)-LEN(SUBSTITUTE(A5,",",""))+1</f>
        <v>1</v>
      </c>
      <c r="C5" s="2" t="s">
        <v>26</v>
      </c>
      <c r="D5" s="2" t="s">
        <v>27</v>
      </c>
      <c r="E5" s="2" t="s">
        <v>12</v>
      </c>
      <c r="F5" s="2" t="s">
        <v>13</v>
      </c>
      <c r="G5" s="2"/>
      <c r="H5" s="2" t="s">
        <v>14</v>
      </c>
      <c r="I5" s="2"/>
    </row>
    <row r="6" customFormat="false" ht="15" hidden="false" customHeight="false" outlineLevel="0" collapsed="false">
      <c r="A6" s="2" t="s">
        <v>28</v>
      </c>
      <c r="B6" s="3" t="n">
        <f aca="false">LEN(A6)-LEN(SUBSTITUTE(A6,",",""))+1</f>
        <v>2</v>
      </c>
      <c r="C6" s="2" t="s">
        <v>29</v>
      </c>
      <c r="D6" s="2" t="s">
        <v>30</v>
      </c>
      <c r="E6" s="2" t="s">
        <v>12</v>
      </c>
      <c r="F6" s="2" t="s">
        <v>13</v>
      </c>
      <c r="G6" s="2"/>
      <c r="H6" s="2" t="s">
        <v>14</v>
      </c>
      <c r="I6" s="2" t="s">
        <v>31</v>
      </c>
    </row>
    <row r="7" customFormat="false" ht="23.85" hidden="false" customHeight="false" outlineLevel="0" collapsed="false">
      <c r="A7" s="2" t="s">
        <v>32</v>
      </c>
      <c r="B7" s="3" t="n">
        <f aca="false">LEN(A7)-LEN(SUBSTITUTE(A7,",",""))+1</f>
        <v>1</v>
      </c>
      <c r="C7" s="2" t="s">
        <v>17</v>
      </c>
      <c r="D7" s="2" t="s">
        <v>33</v>
      </c>
      <c r="E7" s="2" t="s">
        <v>12</v>
      </c>
      <c r="F7" s="2" t="s">
        <v>13</v>
      </c>
      <c r="G7" s="2"/>
      <c r="H7" s="2" t="s">
        <v>14</v>
      </c>
      <c r="I7" s="2" t="s">
        <v>34</v>
      </c>
    </row>
    <row r="8" customFormat="false" ht="15" hidden="false" customHeight="false" outlineLevel="0" collapsed="false">
      <c r="A8" s="2" t="s">
        <v>35</v>
      </c>
      <c r="B8" s="3" t="n">
        <f aca="false">LEN(A8)-LEN(SUBSTITUTE(A8,",",""))+1</f>
        <v>1</v>
      </c>
      <c r="C8" s="2" t="s">
        <v>36</v>
      </c>
      <c r="D8" s="2" t="s">
        <v>37</v>
      </c>
      <c r="E8" s="2" t="s">
        <v>12</v>
      </c>
      <c r="F8" s="2" t="s">
        <v>13</v>
      </c>
      <c r="G8" s="2"/>
      <c r="H8" s="2" t="s">
        <v>14</v>
      </c>
      <c r="I8" s="2" t="s">
        <v>38</v>
      </c>
    </row>
    <row r="9" customFormat="false" ht="23.85" hidden="false" customHeight="false" outlineLevel="0" collapsed="false">
      <c r="A9" s="2" t="s">
        <v>39</v>
      </c>
      <c r="B9" s="3" t="n">
        <f aca="false">LEN(A9)-LEN(SUBSTITUTE(A9,",",""))+1</f>
        <v>2</v>
      </c>
      <c r="C9" s="2" t="s">
        <v>40</v>
      </c>
      <c r="D9" s="2" t="s">
        <v>41</v>
      </c>
      <c r="E9" s="2" t="s">
        <v>42</v>
      </c>
      <c r="F9" s="2" t="s">
        <v>13</v>
      </c>
      <c r="G9" s="2"/>
      <c r="H9" s="2" t="s">
        <v>14</v>
      </c>
      <c r="I9" s="2" t="s">
        <v>43</v>
      </c>
    </row>
    <row r="10" customFormat="false" ht="15" hidden="false" customHeight="false" outlineLevel="0" collapsed="false">
      <c r="A10" s="2" t="s">
        <v>44</v>
      </c>
      <c r="B10" s="3" t="n">
        <f aca="false">LEN(A10)-LEN(SUBSTITUTE(A10,",",""))+1</f>
        <v>2</v>
      </c>
      <c r="C10" s="2" t="s">
        <v>45</v>
      </c>
      <c r="D10" s="2" t="s">
        <v>46</v>
      </c>
      <c r="E10" s="2" t="s">
        <v>12</v>
      </c>
      <c r="F10" s="2" t="s">
        <v>13</v>
      </c>
      <c r="G10" s="2"/>
      <c r="H10" s="2" t="s">
        <v>47</v>
      </c>
      <c r="I10" s="2" t="s">
        <v>48</v>
      </c>
    </row>
    <row r="11" customFormat="false" ht="15" hidden="false" customHeight="false" outlineLevel="0" collapsed="false">
      <c r="A11" s="2" t="s">
        <v>49</v>
      </c>
      <c r="B11" s="3" t="n">
        <f aca="false">LEN(A11)-LEN(SUBSTITUTE(A11,",",""))+1</f>
        <v>2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50</v>
      </c>
      <c r="H11" s="2" t="s">
        <v>14</v>
      </c>
      <c r="I11" s="2" t="s">
        <v>54</v>
      </c>
    </row>
    <row r="12" customFormat="false" ht="15" hidden="false" customHeight="false" outlineLevel="0" collapsed="false">
      <c r="A12" s="2" t="s">
        <v>55</v>
      </c>
      <c r="B12" s="3" t="n">
        <f aca="false">LEN(A12)-LEN(SUBSTITUTE(A12,",",""))+1</f>
        <v>1</v>
      </c>
      <c r="C12" s="2" t="s">
        <v>56</v>
      </c>
      <c r="D12" s="2" t="s">
        <v>57</v>
      </c>
      <c r="E12" s="2" t="s">
        <v>58</v>
      </c>
      <c r="F12" s="4" t="s">
        <v>59</v>
      </c>
      <c r="G12" s="4" t="s">
        <v>59</v>
      </c>
      <c r="H12" s="4" t="s">
        <v>14</v>
      </c>
      <c r="I12" s="2" t="s">
        <v>60</v>
      </c>
    </row>
    <row r="13" customFormat="false" ht="15" hidden="false" customHeight="false" outlineLevel="0" collapsed="false">
      <c r="A13" s="2" t="s">
        <v>61</v>
      </c>
      <c r="B13" s="3" t="n">
        <f aca="false">LEN(A13)-LEN(SUBSTITUTE(A13,",",""))+1</f>
        <v>1</v>
      </c>
      <c r="C13" s="2" t="s">
        <v>56</v>
      </c>
      <c r="D13" s="2" t="s">
        <v>62</v>
      </c>
      <c r="E13" s="2" t="s">
        <v>63</v>
      </c>
      <c r="F13" s="4" t="s">
        <v>59</v>
      </c>
      <c r="G13" s="4" t="s">
        <v>59</v>
      </c>
      <c r="H13" s="4" t="s">
        <v>14</v>
      </c>
      <c r="I13" s="2" t="s">
        <v>60</v>
      </c>
    </row>
    <row r="14" customFormat="false" ht="23.85" hidden="false" customHeight="false" outlineLevel="0" collapsed="false">
      <c r="A14" s="2" t="s">
        <v>64</v>
      </c>
      <c r="B14" s="3" t="n">
        <f aca="false">LEN(A14)-LEN(SUBSTITUTE(A14,",",""))+1</f>
        <v>3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69</v>
      </c>
      <c r="H14" s="2" t="s">
        <v>14</v>
      </c>
      <c r="I14" s="2"/>
    </row>
    <row r="15" customFormat="false" ht="23.85" hidden="false" customHeight="false" outlineLevel="0" collapsed="false">
      <c r="A15" s="2" t="s">
        <v>70</v>
      </c>
      <c r="B15" s="3" t="n">
        <f aca="false">LEN(A15)-LEN(SUBSTITUTE(A15,",",""))+1</f>
        <v>1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14</v>
      </c>
      <c r="I15" s="2" t="s">
        <v>76</v>
      </c>
    </row>
    <row r="16" customFormat="false" ht="23.85" hidden="false" customHeight="false" outlineLevel="0" collapsed="false">
      <c r="A16" s="2" t="s">
        <v>77</v>
      </c>
      <c r="B16" s="3" t="n">
        <f aca="false">LEN(A16)-LEN(SUBSTITUTE(A16,",",""))+1</f>
        <v>1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78</v>
      </c>
      <c r="H16" s="2" t="s">
        <v>14</v>
      </c>
      <c r="I16" s="2" t="s">
        <v>82</v>
      </c>
    </row>
    <row r="17" customFormat="false" ht="23.85" hidden="false" customHeight="false" outlineLevel="0" collapsed="false">
      <c r="A17" s="2" t="s">
        <v>83</v>
      </c>
      <c r="B17" s="3" t="n">
        <f aca="false">LEN(A17)-LEN(SUBSTITUTE(A17,",",""))+1</f>
        <v>1</v>
      </c>
      <c r="C17" s="2" t="s">
        <v>84</v>
      </c>
      <c r="D17" s="2" t="s">
        <v>85</v>
      </c>
      <c r="E17" s="2" t="s">
        <v>86</v>
      </c>
      <c r="F17" s="2" t="s">
        <v>68</v>
      </c>
      <c r="G17" s="2" t="s">
        <v>87</v>
      </c>
      <c r="H17" s="2" t="s">
        <v>14</v>
      </c>
      <c r="I17" s="2" t="s">
        <v>88</v>
      </c>
    </row>
    <row r="18" customFormat="false" ht="23.85" hidden="false" customHeight="false" outlineLevel="0" collapsed="false">
      <c r="A18" s="2" t="s">
        <v>89</v>
      </c>
      <c r="B18" s="3" t="n">
        <f aca="false">LEN(A18)-LEN(SUBSTITUTE(A18,",",""))+1</f>
        <v>1</v>
      </c>
      <c r="C18" s="2" t="s">
        <v>90</v>
      </c>
      <c r="D18" s="2" t="s">
        <v>91</v>
      </c>
      <c r="E18" s="2" t="s">
        <v>92</v>
      </c>
      <c r="F18" s="4" t="s">
        <v>93</v>
      </c>
      <c r="G18" s="4" t="s">
        <v>59</v>
      </c>
      <c r="H18" s="4" t="s">
        <v>14</v>
      </c>
      <c r="I18" s="2" t="s">
        <v>94</v>
      </c>
    </row>
    <row r="19" customFormat="false" ht="15" hidden="false" customHeight="false" outlineLevel="0" collapsed="false">
      <c r="A19" s="2" t="s">
        <v>95</v>
      </c>
      <c r="B19" s="3" t="n">
        <f aca="false">LEN(A19)-LEN(SUBSTITUTE(A19,",",""))+1</f>
        <v>2</v>
      </c>
      <c r="C19" s="2" t="s">
        <v>96</v>
      </c>
      <c r="D19" s="2" t="s">
        <v>97</v>
      </c>
      <c r="E19" s="2" t="s">
        <v>98</v>
      </c>
      <c r="F19" s="2" t="s">
        <v>13</v>
      </c>
      <c r="G19" s="2"/>
      <c r="H19" s="2" t="s">
        <v>14</v>
      </c>
      <c r="I19" s="2"/>
    </row>
    <row r="20" customFormat="false" ht="15" hidden="false" customHeight="false" outlineLevel="0" collapsed="false">
      <c r="A20" s="2" t="s">
        <v>99</v>
      </c>
      <c r="B20" s="3" t="n">
        <f aca="false">LEN(A20)-LEN(SUBSTITUTE(A20,",",""))+1</f>
        <v>2</v>
      </c>
      <c r="C20" s="2" t="s">
        <v>100</v>
      </c>
      <c r="D20" s="2" t="s">
        <v>101</v>
      </c>
      <c r="E20" s="2" t="s">
        <v>98</v>
      </c>
      <c r="F20" s="2" t="s">
        <v>13</v>
      </c>
      <c r="G20" s="2"/>
      <c r="H20" s="2" t="s">
        <v>47</v>
      </c>
      <c r="I20" s="2" t="s">
        <v>102</v>
      </c>
    </row>
    <row r="21" customFormat="false" ht="15" hidden="false" customHeight="false" outlineLevel="0" collapsed="false">
      <c r="A21" s="2" t="s">
        <v>103</v>
      </c>
      <c r="B21" s="3" t="n">
        <f aca="false">LEN(A21)-LEN(SUBSTITUTE(A21,",",""))+1</f>
        <v>1</v>
      </c>
      <c r="C21" s="2" t="s">
        <v>104</v>
      </c>
      <c r="D21" s="2" t="s">
        <v>105</v>
      </c>
      <c r="E21" s="2" t="s">
        <v>98</v>
      </c>
      <c r="F21" s="2" t="s">
        <v>13</v>
      </c>
      <c r="G21" s="2"/>
      <c r="H21" s="2" t="s">
        <v>14</v>
      </c>
      <c r="I21" s="2" t="s">
        <v>106</v>
      </c>
    </row>
    <row r="22" customFormat="false" ht="15" hidden="false" customHeight="false" outlineLevel="0" collapsed="false">
      <c r="A22" s="2" t="s">
        <v>107</v>
      </c>
      <c r="B22" s="3" t="n">
        <f aca="false">LEN(A22)-LEN(SUBSTITUTE(A22,",",""))+1</f>
        <v>1</v>
      </c>
      <c r="C22" s="2" t="s">
        <v>108</v>
      </c>
      <c r="D22" s="2" t="s">
        <v>109</v>
      </c>
      <c r="E22" s="2" t="s">
        <v>98</v>
      </c>
      <c r="F22" s="2" t="s">
        <v>13</v>
      </c>
      <c r="G22" s="2"/>
      <c r="H22" s="2" t="s">
        <v>14</v>
      </c>
      <c r="I22" s="2"/>
    </row>
    <row r="23" customFormat="false" ht="15" hidden="false" customHeight="false" outlineLevel="0" collapsed="false">
      <c r="A23" s="2" t="s">
        <v>110</v>
      </c>
      <c r="B23" s="3" t="n">
        <f aca="false">LEN(A23)-LEN(SUBSTITUTE(A23,",",""))+1</f>
        <v>2</v>
      </c>
      <c r="C23" s="2" t="s">
        <v>111</v>
      </c>
      <c r="D23" s="2" t="s">
        <v>112</v>
      </c>
      <c r="E23" s="2" t="s">
        <v>98</v>
      </c>
      <c r="F23" s="2" t="s">
        <v>13</v>
      </c>
      <c r="G23" s="2"/>
      <c r="H23" s="2" t="s">
        <v>14</v>
      </c>
      <c r="I23" s="2"/>
    </row>
    <row r="24" customFormat="false" ht="15" hidden="false" customHeight="false" outlineLevel="0" collapsed="false">
      <c r="A24" s="2" t="s">
        <v>113</v>
      </c>
      <c r="B24" s="3" t="n">
        <f aca="false">LEN(A24)-LEN(SUBSTITUTE(A24,",",""))+1</f>
        <v>1</v>
      </c>
      <c r="C24" s="2" t="s">
        <v>114</v>
      </c>
      <c r="D24" s="2" t="s">
        <v>115</v>
      </c>
      <c r="E24" s="2" t="s">
        <v>98</v>
      </c>
      <c r="F24" s="2" t="s">
        <v>13</v>
      </c>
      <c r="G24" s="2"/>
      <c r="H24" s="2" t="s">
        <v>14</v>
      </c>
      <c r="I24" s="2" t="s">
        <v>106</v>
      </c>
    </row>
    <row r="25" customFormat="false" ht="23.85" hidden="false" customHeight="false" outlineLevel="0" collapsed="false">
      <c r="A25" s="2" t="s">
        <v>116</v>
      </c>
      <c r="B25" s="3" t="n">
        <f aca="false">LEN(A25)-LEN(SUBSTITUTE(A25,",",""))+1</f>
        <v>1</v>
      </c>
      <c r="C25" s="2" t="s">
        <v>117</v>
      </c>
      <c r="D25" s="2" t="s">
        <v>118</v>
      </c>
      <c r="E25" s="2" t="s">
        <v>98</v>
      </c>
      <c r="F25" s="2" t="s">
        <v>13</v>
      </c>
      <c r="G25" s="2"/>
      <c r="H25" s="2" t="s">
        <v>14</v>
      </c>
      <c r="I25" s="2" t="s">
        <v>119</v>
      </c>
    </row>
    <row r="26" customFormat="false" ht="23.85" hidden="false" customHeight="false" outlineLevel="0" collapsed="false">
      <c r="A26" s="2" t="s">
        <v>120</v>
      </c>
      <c r="B26" s="3" t="n">
        <f aca="false">LEN(A26)-LEN(SUBSTITUTE(A26,",",""))+1</f>
        <v>10</v>
      </c>
      <c r="C26" s="2" t="s">
        <v>121</v>
      </c>
      <c r="D26" s="2" t="s">
        <v>122</v>
      </c>
      <c r="E26" s="2" t="s">
        <v>98</v>
      </c>
      <c r="F26" s="2" t="s">
        <v>13</v>
      </c>
      <c r="G26" s="2"/>
      <c r="H26" s="2" t="s">
        <v>14</v>
      </c>
      <c r="I26" s="2" t="s">
        <v>123</v>
      </c>
    </row>
    <row r="27" customFormat="false" ht="15" hidden="false" customHeight="false" outlineLevel="0" collapsed="false">
      <c r="A27" s="2" t="s">
        <v>124</v>
      </c>
      <c r="B27" s="3" t="n">
        <f aca="false">LEN(A27)-LEN(SUBSTITUTE(A27,",",""))+1</f>
        <v>2</v>
      </c>
      <c r="C27" s="2" t="s">
        <v>125</v>
      </c>
      <c r="D27" s="2" t="s">
        <v>126</v>
      </c>
      <c r="E27" s="2" t="s">
        <v>98</v>
      </c>
      <c r="F27" s="2" t="s">
        <v>13</v>
      </c>
      <c r="G27" s="2"/>
      <c r="H27" s="2" t="s">
        <v>14</v>
      </c>
      <c r="I27" s="2"/>
    </row>
    <row r="28" customFormat="false" ht="23.85" hidden="false" customHeight="false" outlineLevel="0" collapsed="false">
      <c r="A28" s="2" t="s">
        <v>127</v>
      </c>
      <c r="B28" s="3" t="n">
        <f aca="false">LEN(A28)-LEN(SUBSTITUTE(A28,",",""))+1</f>
        <v>2</v>
      </c>
      <c r="C28" s="2" t="s">
        <v>128</v>
      </c>
      <c r="D28" s="2" t="s">
        <v>129</v>
      </c>
      <c r="E28" s="2" t="s">
        <v>130</v>
      </c>
      <c r="F28" s="4" t="s">
        <v>131</v>
      </c>
      <c r="G28" s="4" t="s">
        <v>132</v>
      </c>
      <c r="H28" s="4" t="s">
        <v>133</v>
      </c>
      <c r="I28" s="2" t="s">
        <v>134</v>
      </c>
    </row>
    <row r="29" customFormat="false" ht="23.85" hidden="false" customHeight="false" outlineLevel="0" collapsed="false">
      <c r="A29" s="2" t="s">
        <v>135</v>
      </c>
      <c r="B29" s="3" t="n">
        <f aca="false">LEN(A29)-LEN(SUBSTITUTE(A29,",",""))+1</f>
        <v>1</v>
      </c>
      <c r="C29" s="2" t="s">
        <v>136</v>
      </c>
      <c r="D29" s="2" t="s">
        <v>137</v>
      </c>
      <c r="E29" s="2" t="s">
        <v>138</v>
      </c>
      <c r="F29" s="2" t="s">
        <v>139</v>
      </c>
      <c r="G29" s="2" t="s">
        <v>136</v>
      </c>
      <c r="H29" s="2" t="s">
        <v>47</v>
      </c>
      <c r="I29" s="2"/>
    </row>
    <row r="30" customFormat="false" ht="15" hidden="false" customHeight="false" outlineLevel="0" collapsed="false">
      <c r="A30" s="2" t="s">
        <v>140</v>
      </c>
      <c r="B30" s="3" t="n">
        <f aca="false">LEN(A30)-LEN(SUBSTITUTE(A30,",",""))+1</f>
        <v>1</v>
      </c>
      <c r="C30" s="2" t="s">
        <v>141</v>
      </c>
      <c r="D30" s="2" t="s">
        <v>142</v>
      </c>
      <c r="E30" s="2" t="s">
        <v>143</v>
      </c>
      <c r="F30" s="2" t="s">
        <v>144</v>
      </c>
      <c r="G30" s="2" t="s">
        <v>141</v>
      </c>
      <c r="H30" s="2" t="s">
        <v>47</v>
      </c>
      <c r="I30" s="2"/>
    </row>
    <row r="31" customFormat="false" ht="15" hidden="false" customHeight="false" outlineLevel="0" collapsed="false">
      <c r="A31" s="2" t="s">
        <v>145</v>
      </c>
      <c r="B31" s="3" t="n">
        <f aca="false">LEN(A31)-LEN(SUBSTITUTE(A31,",",""))+1</f>
        <v>1</v>
      </c>
      <c r="C31" s="2" t="s">
        <v>146</v>
      </c>
      <c r="D31" s="2" t="s">
        <v>147</v>
      </c>
      <c r="E31" s="2" t="s">
        <v>148</v>
      </c>
      <c r="F31" s="2" t="s">
        <v>149</v>
      </c>
      <c r="G31" s="2" t="s">
        <v>146</v>
      </c>
      <c r="H31" s="2" t="s">
        <v>14</v>
      </c>
      <c r="I31" s="2" t="s">
        <v>150</v>
      </c>
    </row>
    <row r="32" customFormat="false" ht="15" hidden="false" customHeight="false" outlineLevel="0" collapsed="false">
      <c r="A32" s="2" t="s">
        <v>151</v>
      </c>
      <c r="B32" s="3" t="n">
        <f aca="false">LEN(A32)-LEN(SUBSTITUTE(A32,",",""))+1</f>
        <v>1</v>
      </c>
      <c r="C32" s="2" t="s">
        <v>152</v>
      </c>
      <c r="D32" s="2" t="s">
        <v>153</v>
      </c>
      <c r="E32" s="2" t="s">
        <v>154</v>
      </c>
      <c r="F32" s="2" t="s">
        <v>155</v>
      </c>
      <c r="G32" s="2" t="s">
        <v>156</v>
      </c>
      <c r="H32" s="2" t="s">
        <v>157</v>
      </c>
      <c r="I32" s="2" t="s">
        <v>158</v>
      </c>
    </row>
    <row r="33" customFormat="false" ht="15" hidden="false" customHeight="false" outlineLevel="0" collapsed="false">
      <c r="A33" s="2" t="s">
        <v>159</v>
      </c>
      <c r="B33" s="3" t="n">
        <f aca="false">LEN(A33)-LEN(SUBSTITUTE(A33,",",""))+1</f>
        <v>1</v>
      </c>
      <c r="C33" s="2" t="s">
        <v>160</v>
      </c>
      <c r="D33" s="2" t="s">
        <v>161</v>
      </c>
      <c r="E33" s="2" t="s">
        <v>162</v>
      </c>
      <c r="F33" s="2" t="s">
        <v>139</v>
      </c>
      <c r="G33" s="2" t="s">
        <v>160</v>
      </c>
      <c r="H33" s="2" t="s">
        <v>47</v>
      </c>
      <c r="I33" s="2"/>
    </row>
    <row r="34" customFormat="false" ht="23.85" hidden="false" customHeight="false" outlineLevel="0" collapsed="false">
      <c r="A34" s="2" t="s">
        <v>163</v>
      </c>
      <c r="B34" s="3" t="n">
        <f aca="false">LEN(A34)-LEN(SUBSTITUTE(A34,",",""))+1</f>
        <v>1</v>
      </c>
      <c r="C34" s="2" t="s">
        <v>164</v>
      </c>
      <c r="D34" s="2" t="s">
        <v>165</v>
      </c>
      <c r="E34" s="2" t="s">
        <v>162</v>
      </c>
      <c r="F34" s="2" t="s">
        <v>166</v>
      </c>
      <c r="G34" s="2" t="s">
        <v>167</v>
      </c>
      <c r="H34" s="2" t="s">
        <v>14</v>
      </c>
      <c r="I34" s="2" t="s">
        <v>168</v>
      </c>
    </row>
    <row r="35" customFormat="false" ht="15" hidden="false" customHeight="false" outlineLevel="0" collapsed="false">
      <c r="A35" s="2" t="s">
        <v>169</v>
      </c>
      <c r="B35" s="3" t="n">
        <f aca="false">LEN(A35)-LEN(SUBSTITUTE(A35,",",""))+1</f>
        <v>1</v>
      </c>
      <c r="C35" s="2" t="s">
        <v>170</v>
      </c>
      <c r="D35" s="2" t="s">
        <v>171</v>
      </c>
      <c r="E35" s="2" t="s">
        <v>172</v>
      </c>
      <c r="F35" s="2" t="s">
        <v>173</v>
      </c>
      <c r="G35" s="2" t="s">
        <v>174</v>
      </c>
      <c r="H35" s="2" t="s">
        <v>157</v>
      </c>
      <c r="I35" s="2" t="s">
        <v>175</v>
      </c>
    </row>
    <row r="37" customFormat="false" ht="15" hidden="false" customHeight="false" outlineLevel="0" collapsed="false">
      <c r="A37" s="5" t="s">
        <v>176</v>
      </c>
      <c r="B37" s="6" t="n">
        <f aca="false">SUM(B2:B35)</f>
        <v>61</v>
      </c>
    </row>
    <row r="38" customFormat="false" ht="15" hidden="false" customHeight="false" outlineLevel="0" collapsed="false">
      <c r="A38" s="5" t="s">
        <v>177</v>
      </c>
      <c r="B38" s="6" t="n">
        <f aca="false">COUNTA(A2:A35)</f>
        <v>34</v>
      </c>
    </row>
    <row r="40" customFormat="false" ht="15" hidden="false" customHeight="false" outlineLevel="0" collapsed="false">
      <c r="A40" s="5" t="s">
        <v>178</v>
      </c>
    </row>
    <row r="41" customFormat="false" ht="27.75" hidden="false" customHeight="true" outlineLevel="0" collapsed="false">
      <c r="A41" s="7" t="s">
        <v>179</v>
      </c>
      <c r="B41" s="7"/>
      <c r="C41" s="7"/>
      <c r="D41" s="7"/>
      <c r="E41" s="7"/>
      <c r="F41" s="7"/>
      <c r="G41" s="7"/>
      <c r="H41" s="7"/>
      <c r="I41" s="7"/>
    </row>
    <row r="42" customFormat="false" ht="27.75" hidden="false" customHeight="true" outlineLevel="0" collapsed="false">
      <c r="A42" s="7" t="s">
        <v>180</v>
      </c>
      <c r="B42" s="7"/>
      <c r="C42" s="7"/>
      <c r="D42" s="7"/>
      <c r="E42" s="7"/>
      <c r="F42" s="7"/>
      <c r="G42" s="7"/>
      <c r="H42" s="7"/>
      <c r="I42" s="7"/>
    </row>
    <row r="43" customFormat="false" ht="27.75" hidden="false" customHeight="true" outlineLevel="0" collapsed="false">
      <c r="A43" s="7" t="s">
        <v>181</v>
      </c>
      <c r="B43" s="7"/>
      <c r="C43" s="7"/>
      <c r="D43" s="7"/>
      <c r="E43" s="7"/>
      <c r="F43" s="7"/>
      <c r="G43" s="7"/>
      <c r="H43" s="7"/>
      <c r="I43" s="7"/>
    </row>
    <row r="44" customFormat="false" ht="27.75" hidden="false" customHeight="true" outlineLevel="0" collapsed="false">
      <c r="A44" s="7" t="s">
        <v>182</v>
      </c>
      <c r="B44" s="7"/>
      <c r="C44" s="7"/>
      <c r="D44" s="7"/>
      <c r="E44" s="7"/>
      <c r="F44" s="7"/>
      <c r="G44" s="7"/>
      <c r="H44" s="7"/>
      <c r="I44" s="7"/>
    </row>
    <row r="45" customFormat="false" ht="27.75" hidden="false" customHeight="true" outlineLevel="0" collapsed="false">
      <c r="A45" s="7" t="s">
        <v>183</v>
      </c>
      <c r="B45" s="7"/>
      <c r="C45" s="7"/>
      <c r="D45" s="7"/>
      <c r="E45" s="7"/>
      <c r="F45" s="7"/>
      <c r="G45" s="7"/>
      <c r="H45" s="7"/>
      <c r="I45" s="7"/>
    </row>
    <row r="46" customFormat="false" ht="27.75" hidden="false" customHeight="true" outlineLevel="0" collapsed="false">
      <c r="A46" s="7" t="s">
        <v>184</v>
      </c>
      <c r="B46" s="7"/>
      <c r="C46" s="7"/>
      <c r="D46" s="7"/>
      <c r="E46" s="7"/>
      <c r="F46" s="7"/>
      <c r="G46" s="7"/>
      <c r="H46" s="7"/>
      <c r="I46" s="7"/>
    </row>
  </sheetData>
  <autoFilter ref="A1:I35"/>
  <mergeCells count="6">
    <mergeCell ref="A41:I41"/>
    <mergeCell ref="A42:I42"/>
    <mergeCell ref="A43:I43"/>
    <mergeCell ref="A44:I44"/>
    <mergeCell ref="A45:I45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36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</row>
    <row r="2" customFormat="false" ht="46.25" hidden="false" customHeight="false" outlineLevel="0" collapsed="false">
      <c r="A2" s="3" t="n">
        <v>1</v>
      </c>
      <c r="B2" s="2" t="s">
        <v>190</v>
      </c>
      <c r="C2" s="2" t="s">
        <v>191</v>
      </c>
      <c r="D2" s="2" t="s">
        <v>192</v>
      </c>
      <c r="E2" s="2" t="s">
        <v>193</v>
      </c>
    </row>
    <row r="3" customFormat="false" ht="15" hidden="false" customHeight="false" outlineLevel="0" collapsed="false">
      <c r="A3" s="3" t="n">
        <v>2</v>
      </c>
      <c r="B3" s="2" t="s">
        <v>194</v>
      </c>
      <c r="C3" s="2" t="s">
        <v>195</v>
      </c>
      <c r="D3" s="2" t="s">
        <v>196</v>
      </c>
      <c r="E3" s="2" t="s">
        <v>197</v>
      </c>
    </row>
    <row r="4" customFormat="false" ht="15" hidden="false" customHeight="false" outlineLevel="0" collapsed="false">
      <c r="A4" s="3" t="n">
        <v>3</v>
      </c>
      <c r="B4" s="2" t="s">
        <v>198</v>
      </c>
      <c r="C4" s="2" t="s">
        <v>199</v>
      </c>
      <c r="D4" s="2" t="s">
        <v>200</v>
      </c>
      <c r="E4" s="2" t="s">
        <v>201</v>
      </c>
    </row>
    <row r="5" customFormat="false" ht="15" hidden="false" customHeight="false" outlineLevel="0" collapsed="false">
      <c r="A5" s="3" t="n">
        <v>4</v>
      </c>
      <c r="B5" s="2" t="s">
        <v>116</v>
      </c>
      <c r="C5" s="2" t="s">
        <v>202</v>
      </c>
      <c r="D5" s="2" t="s">
        <v>203</v>
      </c>
      <c r="E5" s="2" t="s">
        <v>204</v>
      </c>
    </row>
    <row r="6" customFormat="false" ht="23.85" hidden="false" customHeight="false" outlineLevel="0" collapsed="false">
      <c r="A6" s="3" t="n">
        <v>5</v>
      </c>
      <c r="B6" s="2" t="s">
        <v>205</v>
      </c>
      <c r="C6" s="2" t="s">
        <v>206</v>
      </c>
      <c r="D6" s="2" t="s">
        <v>207</v>
      </c>
      <c r="E6" s="2" t="s">
        <v>208</v>
      </c>
    </row>
    <row r="7" customFormat="false" ht="15" hidden="false" customHeight="false" outlineLevel="0" collapsed="false">
      <c r="A7" s="3" t="n">
        <v>6</v>
      </c>
      <c r="B7" s="2" t="s">
        <v>209</v>
      </c>
      <c r="C7" s="2" t="s">
        <v>210</v>
      </c>
      <c r="D7" s="2" t="s">
        <v>207</v>
      </c>
      <c r="E7" s="2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2026-10-01T12:15:18Z</dcterms:created>
  <dc:creator>openpyxl</dc:creator>
  <dc:description/>
  <dc:language>en-US</dc:language>
  <cp:lastModifiedBy/>
  <dcterms:modified xsi:type="dcterms:W3CDTF">2026-10-01T12:15:18Z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